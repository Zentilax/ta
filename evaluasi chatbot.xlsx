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Aqil Anhein\Desktop\TA\"/>
    </mc:Choice>
  </mc:AlternateContent>
  <xr:revisionPtr revIDLastSave="0" documentId="13_ncr:1_{14CCFF26-F76A-4068-9F0A-B261389AE31C}" xr6:coauthVersionLast="47" xr6:coauthVersionMax="47" xr10:uidLastSave="{00000000-0000-0000-0000-000000000000}"/>
  <bookViews>
    <workbookView xWindow="-120" yWindow="-120" windowWidth="29040" windowHeight="15720" xr2:uid="{AF7CA626-8266-4772-A1CA-D06501DAC506}"/>
  </bookViews>
  <sheets>
    <sheet name="Sheet1" sheetId="1" r:id="rId1"/>
    <sheet name="Traditional RAG"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62" i="1" l="1"/>
  <c r="F61" i="1"/>
  <c r="F60" i="1"/>
  <c r="F59" i="1"/>
  <c r="F56" i="1"/>
  <c r="F55" i="1"/>
  <c r="F54" i="1"/>
</calcChain>
</file>

<file path=xl/sharedStrings.xml><?xml version="1.0" encoding="utf-8"?>
<sst xmlns="http://schemas.openxmlformats.org/spreadsheetml/2006/main" count="195" uniqueCount="117">
  <si>
    <t>Pertanyaan</t>
  </si>
  <si>
    <t>Jawaban</t>
  </si>
  <si>
    <t>Jenis Pertanyaan</t>
  </si>
  <si>
    <t>Correct?</t>
  </si>
  <si>
    <t>apa isi pasal 5 Peraturan pemerintah no 50 thn 2012</t>
  </si>
  <si>
    <t>Direct</t>
  </si>
  <si>
    <t>Pasal 5 Peraturan Pemerintah No. 50 Tahun 2012 mengatur tentang kewajiban penerapan Sistem Manajemen Keselamatan dan Kesehatan Kerja (SMK3) oleh perusahaan. Berikut adalah isi dari Pasal 5:
Setiap perusahaan wajib menerapkan SMK3 di perusahaannya.
Kewajiban sebagaimana dimaksud pada ayat (1) berlaku bagi perusahaan yang: a. Memperkerjakan pekerja/buruh paling sedikit 100 (seratus) orang; atau b. Mempunyai tingkat potensi bahaya tinggi.
Ketentuan mengenai tingkat potensi bahaya tinggi sebagaimana dimaksud pada ayat (2) huruf b sesuai dengan ketentuan peraturan perundang-undangan.
Pengusaha dalam menerapkan SMK3 wajib berpedoman pada Peraturan Pemerintah ini dan ketentuan peraturan perundang-undangan serta dapat memperhatikan konvensi atau standar internasional.
Informasi ini terdapat dalam BAB II tentang Sistem Manajemen Keselamatan dan Kesehatan Kerja dalam dokumen Peraturan Pemerintah No. 50 Tahun 2012.</t>
  </si>
  <si>
    <t>apa aturan untuk kerja lembur</t>
  </si>
  <si>
    <t>Aturan mengenai kerja lembur di Indonesia diatur dalam Undang-Undang No. 13 Tahun 2003 tentang Ketenagakerjaan. Berikut adalah poin-poin penting mengenai kerja lembur:
Waktu Kerja: Menurut Pasal 77, pengusaha wajib melaksanakan ketentuan waktu kerja yang ditetapkan, yaitu 7 jam per hari dan 40 jam per minggu untuk 6 hari kerja, atau 8 jam per hari dan 40 jam per minggu untuk 5 hari kerja.
Kerja Lembur: Kerja lembur adalah pekerjaan yang dilakukan di luar waktu kerja yang telah ditentukan. Pengusaha yang mempekerjakan pekerja/buruh dalam waktu lembur wajib memberikan upah lembur sesuai dengan ketentuan yang berlaku.
Upah Lembur: Berdasarkan Peraturan Pemerintah No. 36 Tahun 2021, upah lembur harus dibayarkan dengan mempertimbangkan ketentuan yang ada, termasuk upah minimum dan perjanjian kerja bersama jika ada.
Perjanjian Kerja Bersama: Pasal 132 UU No. 13 Tahun 2003 menyatakan bahwa perjanjian kerja bersama dapat mengatur ketentuan lebih lanjut mengenai kerja lembur, termasuk besaran upah lembur.
Pendaftaran Perjanjian: Perjanjian kerja bersama yang mengatur kerja lembur harus didaftarkan oleh pengusaha pada instansi yang bertanggung jawab di bidang ketenagakerjaan.
Untuk informasi lebih lanjut dan detail mengenai ketentuan kerja lembur, Anda dapat merujuk kepada Pasal 77 dan Pasal 132 UU No. 13 Tahun 2003 serta Peraturan Pemerintah No. 36 Tahun 2021.</t>
  </si>
  <si>
    <t>Semantic</t>
  </si>
  <si>
    <t>apa itu persero</t>
  </si>
  <si>
    <t>Persero adalah singkatan dari Perusahaan Perseroan, yang merupakan suatu bentuk badan usaha yang didirikan oleh pemerintah dan memiliki tujuan untuk menjalankan kegiatan usaha dengan prinsip-prinsip komersial. Persero biasanya didirikan untuk mengelola sektor-sektor strategis yang penting bagi perekonomian negara.
Menurut Undang-Undang Nomor 19 Tahun 2003 tentang Badan Usaha Milik Negara, pada Pasal 10, pendirian Persero diusulkan oleh Menteri kepada Presiden dengan disertai dasar pertimbangan setelah dikaji bersama dengan Menteri Teknis dan Menteri Keuangan. Pelaksanaan pendirian Persero dilakukan oleh Menteri dengan memperhatikan ketentuan peraturan perundang-undangan yang berlaku.
Informasi lebih lanjut dapat ditemukan dalam:
Pasal: 10
Bab: II (PERSERO)
Dokumen: UU No 19 Tahun 2003
Dengan demikian, Persero berfungsi sebagai badan usaha yang dikelola oleh pemerintah dengan tujuan untuk memberikan layanan dan produk kepada masyarakat serta mendukung pertumbuhan ekonomi nasional.</t>
  </si>
  <si>
    <t>siapa pemegang saham tertinggi</t>
  </si>
  <si>
    <t xml:space="preserve">Pemegang saham tertinggi dalam suatu perseroan adalah pihak atau individu yang memiliki jumlah saham terbanyak di dalam perusahaan tersebut. Menurut Pasal 50 UU No. 40 Tahun 2007 tentang Perseroan Terbatas, Direksi Perseroan wajib mengadakan dan menyimpan daftar pemegang saham yang mencakup informasi mengenai nama, alamat, jumlah saham yang dimiliki, serta informasi lainnya yang berkaitan dengan kepemilikan saham.
Daftar pemegang saham ini harus disimpan dan disediakan di tempat kedudukan Perseroan agar dapat dilihat oleh para pemegang saham. Dengan demikian, untuk mengetahui siapa pemegang saham tertinggi, Anda dapat merujuk pada daftar pemegang saham yang disimpan oleh Direksi Perseroan.
Dokumen yang relevan adalah:
UU No. 40 Tahun 2007
Pasal 50
Jika Anda memerlukan informasi lebih lanjut mengenai pemegang saham tertentu, Anda dapat meminta akses ke daftar pemegang saham tersebut.
</t>
  </si>
  <si>
    <t>siapa yang membayar jaminan kesehatan</t>
  </si>
  <si>
    <t>Pembayaran jaminan kesehatan di Indonesia diatur dalam Undang-Undang No. 40 Tahun 2004 tentang Sistem Jaminan Sosial Nasional. Menurut Pasal 19, jaminan kesehatan diselenggarakan secara nasional berdasarkan prinsip asuransi sosial dan prinsip ekuitas. Hal ini berarti bahwa biaya jaminan kesehatan dapat ditanggung oleh berbagai pihak, termasuk:
Peserta: Individu yang menjadi peserta jaminan kesehatan, yang biasanya membayar iuran secara berkala.
Pemerintah: Pemerintah juga berperan dalam pembiayaan jaminan kesehatan, terutama untuk masyarakat yang tidak mampu.
Pelaku Usaha: Dalam beberapa konteks, pelaku usaha juga dapat berkontribusi, terutama bagi pekerja yang terdaftar dalam program jaminan kesehatan.
Jadi, tanggung jawab pembayaran jaminan kesehatan tidak hanya terletak pada satu pihak, melainkan merupakan kolaborasi antara peserta, pemerintah, dan pelaku usaha.
Referensi:</t>
  </si>
  <si>
    <t>aturan mengenai jaminan hari tua</t>
  </si>
  <si>
    <t>Aturan mengenai jaminan hari tua diatur dalam Undang-Undang No. 40 Tahun 2004 tentang Sistem Jaminan Sosial Nasional. Berikut adalah beberapa poin penting yang relevan mengenai jaminan hari tua:
Definisi dan Pembayaran Manfaat:
Jaminan hari tua berupa uang tunai dibayarkan sekaligus pada saat peserta memasuki usia pensiun, meninggal dunia, atau mengalami cacat total tetap (Pasal 37 ayat 1).
Besarnya manfaat jaminan hari tua ditentukan berdasarkan seluruh akumulasi iuran yang telah disetorkan ditambah hasil pengembangannya (Pasal 37 ayat 2).
Iuran Jaminan Hari Tua:
Besarnya iuran untuk peserta penerima upah ditetapkan berdasarkan persentase tertentu dari upah atau penghasilan yang ditanggung bersama oleh pemberi kerja dan pekerja (Pasal 38 ayat 1).
Untuk peserta yang tidak menerima upah, besarnya iuran ditetapkan berdasarkan jumlah nominal yang ditetapkan secara berkala oleh Pemerintah (Pasal 38 ayat 2).
Hak Ahli Waris:
Apabila peserta meninggal dunia, ahli warisnya yang sah berhak menerima manfaat jaminan hari tua (Pasal 37 ayat 4).
Ketentuan Lanjutan:
Ketentuan lebih lanjut mengenai jaminan hari tua dan pensiun diatur dalam Peraturan Pemerintah (Pasal 38 ayat 3 dan Pasal 37 ayat 3).
Jaminan hari tua ini bertujuan untuk memberikan perlindungan sosial bagi peserta yang kehilangan atau berkurang penghasilannya akibat memasuki usia pensiun atau mengalami cacat total tetap (Pasal 39 ayat 2).
Semua informasi ini dapat ditemukan dalam BAB VI: PROGRAM JAMINAN SOSIAL pada UU No. 40 Tahun 2004.</t>
  </si>
  <si>
    <t>apa itu k3</t>
  </si>
  <si>
    <t>K3 adalah singkatan dari "Keselamatan dan Kesehatan Kerja" yang merupakan sistem manajemen yang bertujuan untuk melindungi keselamatan dan kesehatan tenaga kerja di tempat kerja. Dalam konteks hukum Indonesia, K3 diatur dalam berbagai peraturan perundang-undangan, termasuk Undang-Undang No. 1 Tahun 1970 tentang Keselamatan Kerja dan Peraturan Pemerintah No. 50 Tahun 2012 tentang Sistem Manajemen Keselamatan dan Kesehatan Kerja (SMK3).
Berdasarkan Pasal 5 Peraturan Pemerintah No. 50 Tahun 2012, setiap perusahaan diwajibkan untuk menerapkan SMK3, dengan ketentuan bahwa kewajiban ini berlaku bagi perusahaan yang memperkerjakan minimal 100 orang atau memiliki tingkat potensi bahaya tinggi. SMK3 mencakup beberapa aspek, seperti penetapan kebijakan K3, perencanaan K3, pelaksanaan rencana K3, pemantauan dan evaluasi kinerja K3, serta peninjauan dan peningkatan kinerja SMK3, sebagaimana diatur dalam Pasal 6 Peraturan Pemerintah yang sama.
Dengan demikian, K3 merupakan aspek penting dalam menciptakan lingkungan kerja yang aman dan sehat bagi para pekerja.</t>
  </si>
  <si>
    <t xml:space="preserve">apa isi pasal 166 uu 13 thn 2004
</t>
  </si>
  <si>
    <t>Pasal 166 Undang-Undang No. 13 Tahun 2003 tentang Ketenagakerjaan mengatur tentang hak-hak ahli waris pekerja/buruh yang meninggal dunia. Isi dari Pasal 166 adalah sebagai berikut:
"Dalam hal hubungan kerja berakhir karena pekerja/buruh meninggal dunia, kepada ahli warisnya diberikan sejumlah uang yang besar perhitungannya sama dengan perhitungan 2 (dua) kali uang pesangon sesuai ketentuan Pasal 156 ayat (2), 1 (satu) kali uang penghargaan masa kerja sesuai ketentuan Pasal 156 ayat (3), dan uang penggantian hak sesuai ketentuan Pasal 156 ayat (4)."
Pasal ini termasuk dalam BAB XII mengenai Pemutusan Hubungan Kerja dalam Undang-Undang No. 13 Tahun 2003. Dengan demikian, ahli waris berhak menerima kompensasi yang diatur berdasarkan ketentuan tersebut.
Jika Anda memerlukan informasi lebih lanjut atau penjelasan mengenai pasal-pasal lain yang relevan, silakan tanyakan.</t>
  </si>
  <si>
    <t>Apa isi pasal 22 PP No 150 tahun 2012?</t>
  </si>
  <si>
    <t>Maaf, basis pengetahuan saya tidak memiliki informasi yang cukup untuk menjawab pertanyaan ini.</t>
  </si>
  <si>
    <t>apa isi pasal 1 pp no 36 tahun 2021</t>
  </si>
  <si>
    <t>Pasal 1 Peraturan Pemerintah No. 36 Tahun 2021 mengatur tentang ketentuan umum yang mencakup definisi beberapa istilah penting dalam bidang ketenagakerjaan. Berikut adalah isi dari Pasal 1 tersebut:
Upah adalah hak Pekerja/Buruh yang diterima dan dinyatakan dalam bentuk uang sebagai imbalan dari Pengusaha atau pemberi kerja kepada Pekerja/Buruh yang ditetapkan dan dibayarkan menurut suatu Perjanjian Kerja, kesepakatan, atau peraturan perundang-undangan, termasuk tunjangan bagi Pekerja/Buruh dan keluarganya atas suatu pekerjaan dan/atau jasa yang telah atau akan dilakukan.
Pekerja/Buruh adalah setiap orang yang bekerja dengan menerima Upah atau imbalan dalam bentuk lain.
Pengusaha adalah: a. orang perseorangan, persekutuan, atau badan hukum yang menjalankan suatu Perusahaan milik sendiri; b. orang perseorangan, persekutuan, atau badan hukum yang secara berdiri sendiri menjalankan Perusahaan bukan miliknya; c. orang perseorangan, persekutuan, atau badan hukum yang berada di Indonesia mewakili Perusahaan sebagaimana dimaksud dalam huruf a dan b yang berkedudukan di luar wilayah Indonesia.
Perusahaan adalah: a. setiap bentuk usaha yang berbadan hukum atau tidak, milik orang perseorangan, milik persekutuan, atau milik badan hukum, baik milik swasta maupun milik negara yang mempekerjakan Pekerja/Buruh dengan membayar Upah atau imbalan dalam bentuk lain; b. usaha-usaha sosial dan usaha-usaha lain yang mempunyai pengurus dan memperkerjakan orang lain dengan membayar Upah atau imbalan dalam bentuk lain.
Perjanjian Kerja adalah perjanjian antara Pekerja/Buruh dengan Pengusaha atau pemberi kerja yang memuat syarat-syarat kerja, hak, dan kewajiban para pihak.
Peraturan Perusahaan adalah peraturan yang dibuat secara tertulis oleh Pengusaha yang memuat syarat-syarat kerja dan tata tertib Perusahaan.
Perjanjian Kerja Bersama adalah perjanjian yang merupakan hasil perundingan antara Serikat Pekerja/Serikat Buruh atau beberapa Serikat Pekerja/Serikat Buruh yang tercatat pada instansi yang bertanggung jawab di bidang ketenagakerjaan dengan Pengusaha, atau beberapa Pengusaha atau perkumpulan Pengusaha yang memuat syarat-syarat kerja, hak, dan kewajiban kedua belah pihak.
Hubungan Kerja adalah hubungan antara Pengusaha dengan Pekerja/Buruh berdasarkan Perjanjian Kerja, yang mempunyai unsur pekerjaan, Upah, dan perintah.
Pemutusan Hubungan Kerja adalah pengakhiran Hubungan Kerja karena suatu hal tertentu yang mengakibatkan berakhirnya hak dan kewajiban antara Pekerja/Buruh dan Pengusaha.
Serikat Pekerja/Serikat Buruh adalah organisasi yang dibentuk dari, oleh, dan untuk Pekerja/Buruh baik di Perusahaan maupun di luar Perusahaan, yang bersifat bebas, terbuka, mandiri, demokratis, dan bertanggung jawab guna memperjuangkan, membela serta melindungi hak dan kepentingan Pekerja/Buruh serta meningkatkan kesejahteraan Pekerja/Buruh dan keluarganya.
Pemerintah Pusat adalah Presiden Republik Indonesia yang memegang kekuasaan pemerintahan negara Republik Indonesia yang dibantu oleh Wakil Presiden dan menteri sebagaimana dimaksud dalam Undang-Undang Dasar Negara Republik Indonesia Tahun 1945.
Pengawas Ketenagakerjaan adalah pegawai negeri sipil yang diberi tugas, tanggung jawab, wewenang, dan hak secara penuh oleh pejabat yang berwenang untuk melaksanakan kegiatan pembinaan, pemeriksaan, pengujian, penyidikan, dan pengembangan sistem pengawasan ketenagakerjaan sesuai dengan ketentuan peraturan perundang-undangan.
Menteri adalah menteri yang menyelenggarakan urusan pemerintahan di bidang ketenagakerjaan.
Dokumen ini terdapat dalam BAB I: KETENTUAN UMUM dari PP No. 36 Tahun 2021.</t>
  </si>
  <si>
    <t>apa isi permen bumn no 1613 tahun 2019 pasal 2</t>
  </si>
  <si>
    <t>Pasal 2 dari Peraturan Menteri BUMN No. 1613 Tahun 2019 menyatakan bahwa peraturan ini berlaku untuk semua pengadaan barang dan jasa yang dilakukan oleh Badan Usaha Milik Negara (BUMN) yang pembiayaannya berasal dari Anggaran BUMN. Ini termasuk dana yang bersumber dari penyertaan modal negara, dana untuk pelaksanaan subsidi atau kewajiban pelayanan umum (public service obligation), penugasan pemerintah yang diganti dari dana Anggaran Pendapatan dan Belanja Negara atau Anggaran Pendapatan dan Belanja Daerah, serta pinjaman BUMN dari pemerintah.</t>
  </si>
  <si>
    <t>buatkan 3 peraturan perusahaan mengenai upah kerja</t>
  </si>
  <si>
    <t>Pembayaran Upah
Pasal: 55
Bab: BAB VIII: BENTUK DAN CARA PEMBAYARAN UPAH
Dokumen: PP No 36 Tahun 2021
(1) Pengusaha wajib membayar Upah pada waktu yang telah diperjanjikan antara Pengusaha dengan Pekerja/Buruh.
(2) Dalam hal hari atau tanggal yang telah disepakati jatuh pada hari libur, hari yang diliburkan, atau hari istirahat mingguan, pelaksanaan pembayaran Upah diatur dalam Perjanjian Kerja, Peraturan Perusahaan, atau Perjanjian Kerja Bersama.
(3) Upah dapat dibayarkan dengan cara harian, mingguan, atau bulanan.
(4) Jangka waktu pembayaran Upah oleh Pengusaha tidak boleh lebih dari 1 (satu) bulan.
Struktur dan Skala Upah
Pasal: 21
Bab: BAB IV: STRUKTUR DAN SKALA UPAH
Dokumen: PP No 36 Tahun 2021
(1) Pengusaha wajib menyusun dan menerapkan struktur dan skala Upah di Perusahaan dengan memperhatikan kemampuan Perusahaan dan produktivitas.
(2) Struktur dan skala Upah sebagaimana dimaksud pada ayat (1) wajib diberitahukan kepada seluruh Pekerja/Buruh secara perorangan.
(3) Struktur dan skala Upah yang diberitahukan sekurang-kurangnya struktur dan skala Upah pada golongan jabatan sesuai dengan jabatan Pekerja/Buruh yang bersangkutan.
Upah untuk Pekerja yang Tidak Masuk Kerja
Pasal: 46
Bab: BAB VII: PELINDUNGAN UPAH
Dokumen: PP No 36 Tahun 2021
Pengusaha wajib membayar Upah kepada Pekerja/Buruh yang tidak masuk bekerja dan/atau tidak melakukan pekerjaan karena menjalankan hak waktu istirahat atau cutinya, sebesar Upah yang biasa diterima oleh Pekerja/Buruh.
Peraturan-peraturan di atas mengatur berbagai aspek penting terkait upah kerja, termasuk waktu pembayaran, struktur upah, dan hak pekerja terkait upah saat tidak bekerja.</t>
  </si>
  <si>
    <t>Program Tanggung Jawab Sosial dan Lingkungan BUMN, yang disingkat Program TJSL BUMN, adalah kegiatan yang merupakan komitmen Badan Usaha Milik Negara (BUMN) terhadap pembangunan berkelanjutan. Program ini bertujuan untuk memberikan manfaat dalam aspek ekonomi, sosial, lingkungan, serta hukum dan tata kelola dengan prinsip yang lebih terintegrasi, terarah, terukur dampaknya, serta dapat dipertanggungjawabkan. Program TJSL BUMN merupakan bagian dari pendekatan bisnis perusahaan.
Informasi ini dapat ditemukan dalam Pasal 1, angka 12, BAB I: Ketentuan Umum dari Peraturan Menteri BUMN No. 438 Tahun 2021. Selain itu, pelaksanaan Program TJSL BUMN juga diatur dalam Pasal 12, BAB III: Program Tanggung Jawab Sosial dan Lingkungan, dari Peraturan Menteri BUMN No. 261 Tahun 2023.</t>
  </si>
  <si>
    <t>apa itu TSJL BUMN</t>
  </si>
  <si>
    <t>Jika ada karyawan yang meninggal dunia, siapa yang berhak menerima jaminan hari tua dia</t>
  </si>
  <si>
    <t>Berdasarkan Undang-Undang No. 40 Tahun 2004 tentang Sistem Jaminan Sosial Nasional, khususnya dalam BAB VI mengenai Program Jaminan Sosial, terdapat ketentuan mengenai jaminan hari tua dan jaminan kematian.
Dalam Pasal 36, disebutkan bahwa peserta jaminan hari tua adalah peserta yang telah membayar iuran. Jaminan hari tua ini bertujuan untuk memberikan uang tunai kepada peserta apabila mereka meninggal dunia, sebagaimana diatur dalam Pasal 35.
Lebih lanjut, dalam Pasal 45, dinyatakan bahwa manfaat jaminan kematian berupa uang tunai akan dibayarkan kepada ahli waris peserta yang telah membayar iuran, paling lambat 3 (tiga) hari kerja setelah klaim diterima dan disetujui oleh Badan Penyelenggara Jaminan Sosial.
Dengan demikian, ahli waris dari karyawan yang meninggal dunia berhak menerima jaminan hari tua yang telah dibayarkan, sesuai dengan ketentuan yang berlaku.
Referensi:
Pasal 35, 36, dan 45
BAB VI: PROGRAM JAMINAN SOSIAL
UU No. 40 Tahun 2004</t>
  </si>
  <si>
    <t>apakah boleh bagi perusahaan untuk tidak membayar upah tambahan bila karyawan kerja lembur</t>
  </si>
  <si>
    <t>Berdasarkan peraturan yang berlaku, perusahaan tidak diperbolehkan untuk tidak membayar upah tambahan kepada karyawan yang bekerja lembur. Menurut Pasal 77 Undang-Undang No. 13 Tahun 2003 tentang Ketenagakerjaan, setiap pengusaha wajib melaksanakan ketentuan waktu kerja dan harus memenuhi hak-hak pekerja, termasuk pembayaran upah lembur.
Lebih lanjut, dalam Pasal 54 dan Pasal 53 dari Peraturan Pemerintah No. 36 Tahun 2021, dijelaskan bahwa upah harus dibayarkan oleh pengusaha kepada pekerja/buruh yang bersangkutan, termasuk upah lembur sesuai dengan perjanjian kerja, peraturan perusahaan, atau perjanjian kerja bersama.
Oleh karena itu, perusahaan wajib membayar upah lembur kepada karyawan yang bekerja melebihi waktu kerja yang telah ditentukan. Jika perusahaan tidak memenuhi kewajiban ini, maka perusahaan dapat dikenakan sanksi sesuai dengan ketentuan yang berlaku.</t>
  </si>
  <si>
    <t>siapa pemenang piala dunia 2022</t>
  </si>
  <si>
    <t xml:space="preserve">Maaf, basis pengetahuan saya tidak memiliki informasi yang cukup untuk menjawab pertanyaan ini.
</t>
  </si>
  <si>
    <t xml:space="preserve">apa resep untuk gulai ayam
</t>
  </si>
  <si>
    <t>apa isi pasal 1 Undang-Undang Nomor 2 Tahun 2025</t>
  </si>
  <si>
    <t>berapa penyertaan modal negara pada persero PT Jaminan Sosial Tenaga Kerja</t>
  </si>
  <si>
    <t>Berdasarkan informasi yang tersedia, penyertaan modal negara pada PT Jaminan Sosial Tenaga Kerja telah mengalami penambahan. Penambahan penyertaan modal negara sebesar Rp 75.000.000.000,00 (tujuh puluh lima miliar rupiah) diatur dalam Pasal 2 ayat (2) Peraturan Pemerintah Nomor 4 Tahun 2003. Dengan penambahan tersebut, total penyertaan modal negara meningkat menjadi Rp 125.000.000.000,00 (seratus dua puluh lima miliar rupiah) sebagaimana diatur dalam Pasal 3 dokumen yang sama.
Informasi ini dapat ditemukan dalam:
Pasal 2, BAB I: PENAMBAHAN PENYERTAAN MODAL, PP No 4 Tahun 2003
Pasal 3, BAB II: PELAKSANAAN PENAMBAHAN PENYERTAAN MODAL, PP No 4 Tahun 2003
Saya tidak memiliki informasi lebih lanjut mengenai perubahan dokumen atau informasi lain yang relevan.</t>
  </si>
  <si>
    <t>undang undang terbaru tentang cipta kerja</t>
  </si>
  <si>
    <t>Undang-Undang terbaru yang mengatur tentang Cipta Kerja adalah Undang-Undang Nomor 11 Tahun 2020. Salah satu pasal yang relevan adalah Pasal 64 yang terdapat dalam BAB IX: KETENTUAN PENUTUP. Pasal ini mengatur tentang kompensasi untuk Perjanjian Kerja Waktu Tertentu (PKWT) yang jangka waktunya belum berakhir, yang dihitung berdasarkan masa kerja Pekerja/Buruh sejak tanggal diundangkannya Undang-Undang Nomor 11 Tahun 2020 tentang Cipta Kerja.
Silakan merujuk ke dokumen tersebut untuk informasi lebih lanjut. Jika Anda memerlukan detail lebih spesifik atau pertanyaan lain, silakan ajukan.</t>
  </si>
  <si>
    <t>apa hukumnya mencuri pisang dari kebun orang</t>
  </si>
  <si>
    <t xml:space="preserve">apa yang dibahas dalam PP No 64 tahun 2023
</t>
  </si>
  <si>
    <t xml:space="preserve">PP No 64 Tahun 2023 pasal 1
</t>
  </si>
  <si>
    <t>Pasal 1 dari Peraturan Pemerintah Nomor 64 Tahun 2023 menyatakan bahwa Negara Republik Indonesia melakukan penambahan penyertaan modal negara ke dalam modal Perusahaan Umum (Perum) Lembaga Penyelenggara Pelayanan Navigasi Penerbangan Indonesia. Perum ini didirikan berdasarkan Peraturan Pemerintah Nomor 77 Tahun 2012 tentang Perusahaan Umum (Perum) Lembaga Penyelenggara Pelayanan Navigasi Penerbangan Indonesia.
Dokumen yang relevan adalah Peraturan Pemerintah Nomor 64 Tahun 2023.
Maaf, saya tidak memiliki informasi lebih lanjut mengenai perubahan dokumen atau konteks tambahan yang mungkin diperlukan.</t>
  </si>
  <si>
    <t xml:space="preserve">apa itu diskriminasi
</t>
  </si>
  <si>
    <t xml:space="preserve">hak hak penyadang disabilitas
</t>
  </si>
  <si>
    <t>Hak-hak penyandang disabilitas diatur dalam berbagai pasal yang terdapat dalam undang-undang terkait. Berikut adalah beberapa hak yang diatur:
Hak Hidup (Pasal 6):
Penyandang disabilitas berhak atas penghormatan integritas, tidak dirampas nyawanya, mendapatkan perawatan dan pengasuhan yang menjamin kelangsungan hidupnya, bebas dari penelantaran, pemasungan, pengurungan, dan pengucilan, bebas dari ancaman dan berbagai bentuk eksploitasi, serta bebas dari penyiksaan dan perlakuan yang kejam, tidak manusiawi, dan merendahkan martabat manusia.
Hak Bebas dari Stigma (Pasal 7):
Penyandang disabilitas berhak bebas dari pelecehan, penghinaan, dan pelabelan negatif terkait kondisi disabilitasnya.
Hak Privasi (Pasal 8):
Penyandang disabilitas memiliki hak untuk diakui sebagai manusia pribadi, membentuk keluarga, mendapatkan penghormatan rumah dan keluarga, dilindungi kerahasiaan data pribadi, serta memperoleh perlindungan terhadap kehidupan pribadi dan keluarga.
Hak Pelayanan Publik (Pasal 19):
Penyandang disabilitas berhak memperoleh akomodasi yang layak dalam pelayanan publik dan mendapatkan pendampingan serta fasilitas yang mudah diakses tanpa biaya tambahan.
Hak Pelindungan dari Bencana (Pasal 20):
Penyandang disabilitas berhak mendapatkan informasi yang mudah diakses tentang bencana, prioritas dalam proses penyelamatan dan evakuasi, serta fasilitas penyelamatan yang mudah diakses.
Semua hak ini terdapat dalam BAB III: HAK PENYANDANG DISABILITAS. Jika Anda memerlukan informasi lebih lanjut atau spesifik, mohon untuk menyampaikan pertanyaan yang lebih detail.</t>
  </si>
  <si>
    <t xml:space="preserve">Apakah ada perubahan dalam pasal 1 permen bumn no 958 tahun 2021
</t>
  </si>
  <si>
    <t>Maaf, basis pengetahuan saya tidak memiliki informasi yang cukup untuk menjawab pertanyaan ini. Namun, berdasarkan informasi yang ada, Pasal 1 dari PERMEN BUMN No 958 Tahun 2021 telah disebagian dirubah oleh PERMEN BUMN No 961 Tahun 2022. Jika Anda memerlukan informasi lebih lanjut mengenai perubahan tersebut, saya sarankan untuk merujuk langsung pada dokumen terbaru atau sumber resmi terkait.</t>
  </si>
  <si>
    <t xml:space="preserve">apa syarat untuk diangkat menjadi direksi bumn
</t>
  </si>
  <si>
    <t>Syarat untuk diangkat menjadi Direksi Badan Usaha Milik Negara (BUMN) diatur dalam Peraturan Menteri BUMN. Berdasarkan Pasal 3 dan Pasal 5 dari PERMEN BUMN No. 263 Tahun 2023, syarat yang harus dipenuhi adalah sebagai berikut:
Syarat Formal untuk Direksi Perum:
Berstatus sebagai orang perseorangan.
Mampu melaksanakan perbuatan hukum.
Tidak pernah dinyatakan pailit.
Tidak pernah menjadi anggota Direksi atau anggota Dewan Komisaris/Dewan Pengawas yang dinyatakan bersalah menyebabkan suatu BUMN, Anak Perusahaan, dan/atau badan usaha lainnya dinyatakan pailit.
Tidak pernah dihukum karena melakukan tindak pidana yang merugikan keuangan Negara, BUMN, Anak Perusahaan, dan/atau badan usaha lainnya.
Syarat untuk Direksi Persero:
Berstatus sebagai orang perseorangan yang cakap melakukan perbuatan hukum.
Tidak pernah dinyatakan pailit dalam waktu 5 (lima) tahun sebelum pengangkatan.
Tidak pernah menjadi anggota Direksi atau anggota Dewan Komisaris/Dewan Pengawas yang dinyatakan bersalah menyebabkan suatu BUMN dan/atau Perusahaan dinyatakan pailit dalam waktu 5 (lima) tahun sebelum pengangkatan.
Tidak pernah dihukum karena melakukan tindak pidana yang merugikan keuangan Negara, BUMN, Perusahaan, dan/atau yang berkaitan dengan sektor keuangan dalam waktu 5 (lima) tahun sebelum pengangkatan.
Informasi ini dapat ditemukan dalam:
Pasal 3 dan Pasal 5, BAB II: SYARAT ANGGOTA DIREKSI DAN DEWAN, PERMEN BUMN No. 263 Tahun 2023.
Tidak ada perubahan dokumen yang relevan untuk informasi ini.</t>
  </si>
  <si>
    <t>Pemberhentian Hak Kerja karena efisiensi, apakah diperbolehkan</t>
  </si>
  <si>
    <t>Pemberhentian hak kerja karena efisiensi dapat dilakukan, namun harus memperhatikan ketentuan yang berlaku dalam peraturan perundang-undangan. Berdasarkan UU No 13 Tahun 2003 tentang Ketenagakerjaan, khususnya pada Pasal 51, perjanjian kerja antara pengusaha dan pekerja/buruh harus dilaksanakan sesuai dengan peraturan yang berlaku.
Pemberhentian kerja harus dilakukan dengan alasan yang sah dan sesuai prosedur, serta memperhatikan hak-hak pekerja. Jika pemberhentian tersebut dilakukan tanpa alasan yang jelas atau tanpa mengikuti prosedur yang benar, maka dapat dianggap sebagai tindakan yang melanggar hukum.
Untuk informasi lebih lanjut, Anda dapat merujuk pada:
Pasal 51, BAB IX: HUBUNGAN KERJA, UU No 13 Tahun 2003.
Namun, perlu dicatat bahwa dalam konteks ini, saya tidak memiliki informasi lebih lanjut mengenai prosedur spesifik atau ketentuan tambahan yang mungkin relevan untuk kasus pemberhentian kerja karena efisiensi.</t>
  </si>
  <si>
    <t xml:space="preserve">Pasal 51 UU No 13 Tahun 2003.
</t>
  </si>
  <si>
    <t>Pasal yang relevan adalah Pasal 51 dari Undang-Undang No. 13 Tahun 2003 tentang Ketenagakerjaan. Berikut adalah isi pasal tersebut:
(1) Perjanjian kerja dibuat secara tertulis atau lisan.
(2) Perjanjian kerja yang dipersyaratkan secara tertulis dilaksanakan sesuai dengan peraturan perundang-undangan yang berlaku.
Pasal ini terletak di dalam BAB IX: HUBUNGAN KERJA.
Jika Anda memerlukan informasi lebih lanjut atau penjelasan mengenai pasal ini, silakan tanyakan.</t>
  </si>
  <si>
    <t xml:space="preserve">Apakah perusahaan wajib memberikan THR untuk karyawan kontrak?
</t>
  </si>
  <si>
    <t>Berdasarkan informasi yang tersedia, perusahaan di Indonesia diwajibkan untuk memberikan Tunjangan Hari Raya (THR) kepada karyawan, termasuk karyawan dengan status kontrak. Hal ini diatur dalam Pasal 8 Peraturan Pemerintah Nomor 36 Tahun 2021 tentang Pengupahan, yang menyatakan bahwa pendapatan non-upah berupa tunjangan hari raya keagamaan adalah hak yang harus diberikan oleh pengusaha.
Untuk lebih jelasnya, berikut adalah rujukan yang relevan:
Pasal: 8
Bab: II: Kebijakan Pengupahan
Dokumen: PP No 36 Tahun 2021
Oleh karena itu, perusahaan wajib memberikan THR kepada karyawan kontrak sesuai dengan ketentuan yang berlaku.</t>
  </si>
  <si>
    <t>Berapa batas maksimal lembur menurut UU Ketenagakerjaan?</t>
  </si>
  <si>
    <t>Berdasarkan UU No. 13 Tahun 2003 tentang Ketenagakerjaan, batas maksimal lembur diatur dalam Pasal 77. Dalam pasal tersebut, waktu kerja yang ditetapkan adalah sebagai berikut:
Untuk 6 (enam) hari kerja dalam 1 (satu) minggu, waktu kerja maksimal adalah 7 (tujuh) jam per hari dan 40 (empat puluh) jam per minggu.
Untuk 5 (lima) hari kerja dalam 1 (satu) minggu, waktu kerja maksimal adalah 8 (delapan) jam per hari dan 40 (empat puluh) jam per minggu.
Namun, untuk lembur, pengusaha tidak boleh mempekerjakan pekerja/buruh lebih dari 3 (tiga) jam dalam sehari dan 14 (empat belas) jam dalam seminggu, kecuali dalam keadaan tertentu yang diatur lebih lanjut oleh peraturan perundang-undangan.
Referensi:
Pasal 77, Bab X: Perlindungan, Pengupahan, UU No. 13 Tahun 2003.</t>
  </si>
  <si>
    <t xml:space="preserve">Ringkas isi UU Cipta Kerja Bab IV.
</t>
  </si>
  <si>
    <t xml:space="preserve">Apa isi pasal yang tidak dicantumkan dalam database saya?
</t>
  </si>
  <si>
    <t xml:space="preserve">What is the definition of ‘Peraturan Menteri’ in Indonesian law?
</t>
  </si>
  <si>
    <t>Dalam hukum Indonesia, 'Peraturan Menteri' adalah peraturan yang ditetapkan oleh seorang Menteri untuk mengatur hal-hal tertentu dalam lingkup kementeriannya. Peraturan Menteri ini merupakan salah satu jenis produk hukum yang memiliki kekuatan mengikat dan dihasilkan melalui prosedur yang telah ditetapkan. Sebagai contoh, dalam dokumen "PERMEN BUMN No 576 Tahun 2022", terdapat definisi dan ketentuan yang mengatur tentang Jaringan Dokumentasi dan Informasi Hukum di lingkungan Kementerian Badan Usaha Milik Negara.
Dokumen yang relevan:
Pasal: 1
Bab: I: KETENTUAN UMUM
Dokumen: PERMEN BUMN No 576 Tahun 2022
Saya tidak memiliki informasi lebih lanjut mengenai definisi ini di luar konteks yang diberikan.</t>
  </si>
  <si>
    <t>Apa sanksi jika perusahaan tidak membuat perjanjian kerja tertulis?</t>
  </si>
  <si>
    <t xml:space="preserve">apa yang dimaksud dengan eselon 2
</t>
  </si>
  <si>
    <t>Eselon II merujuk pada jabatan struktural dalam organisasi pemerintahan di Indonesia, yang termasuk dalam kategori Jabatan Pimpinan Tinggi Pratama. Berdasarkan Pasal 134 dari PERMEN BUMN No 251 Tahun 2021, jabatan yang termasuk dalam Eselon II adalah Kepala Biro, Asisten Deputi, dan Inspektur.
Eselon II memiliki tanggung jawab untuk memimpin unit organisasi dan melakukan pembinaan serta pengawasan terhadap unit di bawahnya, sebagaimana diatur dalam Bab XIII tentang Eselon, Pengangkatan, dan Pemberhentian.
Dokumen yang relevan adalah:
Pasal: 134
Bab: XIII
Dokumen: PERMEN BUMN No 251 Tahun 20</t>
  </si>
  <si>
    <t>berapa pendapatan negara tahun 2022</t>
  </si>
  <si>
    <t>UU No 18 Tahun 2023 pasal 3</t>
  </si>
  <si>
    <t>Pasal yang relevan adalah Pasal 3 dari Undang-Undang No. 18 Tahun 2023. Pasal ini mengatur mengenai Laporan Realisasi Anggaran Pendapatan dan Belanja Negara Tahun Anggaran 2022, yang mencakup informasi keuangan terkait realisasi pendapatan, belanja, defisit anggaran, pembiayaan, dan sisa lebih pembiayaan anggaran.
Berikut adalah isi dari Pasal 3:
Realisasi Pendapatan Negara Tahun Anggaran 2022 sebesar Rp2.635.843.046.064.472,00, yang berarti 116,31% dari Anggaran Pendapatan.
Realisasi Belanja Negara Tahun Anggaran 2022 sebesar Rp3.096.262.719.102.674,00, yang berarti 99,67% dari Anggaran Belanja.
Terdapat defisit anggaran sebesar Rp460.419.673.038.202,00, yang berarti 54,80% dari estimasi defisit.
Pembiayaan untuk menutup defisit sebesar Rp590.975.140.090.153,00, yang berarti 70,34% dari anggaran pembiayaan.
Terdapat sisa lebih pembiayaan anggaran sebesar Rp130.558.467.051.951,00.
Realisasi pendapatan negara termasuk penerimaan dari minyak bumi dan gas alam serta pendapatan Badan Layanan Umum.
Dokumen ini merupakan bagian dari laporan keuangan pemerintah pusat yang lebih luas, sebagaimana diatur dalam Pasal 2.
Jika Anda memerlukan informasi lebih lanjut atau penjelasan mengenai aspek tertentu dari pasal ini, silakan beri tahu.</t>
  </si>
  <si>
    <t>apa itu smk3</t>
  </si>
  <si>
    <t>Sistem Manajemen Keselamatan dan Kesehatan Kerja (SMK3) adalah bagian dari sistem manajemen perusahaan secara keseluruhan yang bertujuan untuk mengendalikan risiko yang berkaitan dengan kegiatan kerja, guna terciptanya tempat kerja yang aman, efisien, dan produktif. SMK3 berfokus pada upaya pencegahan kecelakaan kerja dan penyakit akibat kerja, serta melibatkan manajemen, pekerja, dan serikat pekerja.
Penerapan SMK3 bertujuan untuk: a. Meningkatkan efektivitas perlindungan keselamatan dan kesehatan kerja yang terencana, terukur, terstruktur, dan terintegrasi. b. Mencegah dan mengurangi kecelakaan kerja dan penyakit akibat kerja. c. Menciptakan tempat kerja yang aman, nyaman, dan efisien untuk mendorong produktivitas.
Informasi ini dapat ditemukan dalam:
Pasal: 1 dan 2
Bab: I: Ketentuan Umum
Dokumen: PP No 50 Tahun 2012</t>
  </si>
  <si>
    <t xml:space="preserve">apa saja kondisi K3
</t>
  </si>
  <si>
    <t>Kondisi K3 (Keselamatan dan Kesehatan Kerja) diatur dalam Peraturan Pemerintah. Berdasarkan Pasal 6 Peraturan Pemerintah No. 50 Tahun 2012 tentang Sistem Manajemen Keselamatan dan Kesehatan Kerja (SMK3), terdapat beberapa elemen penting yang harus diperhatikan, yaitu:
Penetapan kebijakan K3.
Perencanaan K3.
Pelaksanaan rencana K3.
Pemantauan dan evaluasi kinerja K3.
Peninjauan dan peningkatan kinerja SMK3.
Penerapan SMK3 harus dilakukan oleh setiap perusahaan yang memperkerjakan pekerja/buruh paling sedikit 100 orang atau memiliki tingkat potensi bahaya tinggi, sebagaimana diatur dalam Pasal 5 Peraturan Pemerintah yang sama.
Referensi:
Pasal 6 dan Pasal 5, Peraturan Pemerintah No. 50 Tahun 2012.</t>
  </si>
  <si>
    <t xml:space="preserve">bagaimana perhitungan upah pekerja
</t>
  </si>
  <si>
    <t>Perhitungan upah pekerja di Indonesia dapat dilakukan berdasarkan beberapa metode, tergantung pada kesepakatan antara pengusaha dan pekerja. Menurut Pasal 15 dan Pasal 17 dari PP No. 36 Tahun 2021, upah dapat ditetapkan berdasarkan satuan waktu, yaitu:
Per Jam: Dikhususkan untuk pekerja paruh waktu, di mana upah per jam dihitung berdasarkan kesepakatan dan tidak boleh lebih rendah dari formula yang telah ditetapkan.
Harian: Untuk perusahaan dengan sistem waktu kerja 6 hari dalam seminggu, upah sebulan dibagi 25, sedangkan untuk perusahaan dengan sistem waktu kerja 5 hari dalam seminggu, upah sebulan dibagi 21.
Bulanan: Upah juga dapat ditetapkan secara bulanan.
Untuk informasi lebih lanjut mengenai perhitungan upah, Anda dapat merujuk pada:
Pasal 15 dan Pasal 17, BAB III: UPAH BERDASARKAN SATUAN WAKTU, PP No 36 Tahun 2021.
Jika Anda memerlukan penjelasan lebih lanjut atau spesifik, silakan tanyakan kembali.</t>
  </si>
  <si>
    <t xml:space="preserve">apakah prodi data science memperbolehkan skema 3,5 tahun
</t>
  </si>
  <si>
    <t>apa syarat TKA</t>
  </si>
  <si>
    <t xml:space="preserve">Untuk penggunaan tenaga kerja asing (TKA) di Indonesia, terdapat beberapa syarat yang diatur dalam Undang-Undang No. 13 Tahun 2003 tentang Ketenagakerjaan, khususnya dalam BAB VIII mengenai Penggunaan Tenaga Kerja Asing.
Rencana Penggunaan TKA: Pemberi kerja yang ingin menggunakan TKA harus memiliki rencana penggunaan yang disahkan oleh Menteri atau pejabat yang ditunjuk. Rencana tersebut sekurang-kurangnya harus memuat:
Alasan penggunaan tenaga kerja asing.
Jabatan dan/atau kedudukan TKA dalam struktur organisasi perusahaan.
Jangka waktu penggunaan TKA.
Penunjukan tenaga kerja warga negara Indonesia sebagai pendamping TKA yang dipekerjakan (Pasal 43).
Izin Tertulis: Setiap pemberi kerja yang mempekerjakan TKA wajib memiliki izin tertulis dari Menteri atau pejabat yang ditunjuk (Pasal 42).
Ketentuan Jabatan dan Waktu: TKA hanya dapat dipekerjakan dalam hubungan kerja untuk jabatan tertentu dan waktu tertentu, dan ketentuan mengenai jabatan tertentu serta waktu tertentu ditetapkan dengan Keputusan Menteri (Pasal 42).
Standar Kompetensi: Pemberi kerja TKA juga wajib menaati ketentuan mengenai jabatan dan standar kompetensi yang berlaku (Pasal 44).
Demikian informasi mengenai syarat penggunaan tenaga kerja asing berdasarkan Undang-Undang yang berlaku.
</t>
  </si>
  <si>
    <t xml:space="preserve">bagaimana sistem upah TKA
</t>
  </si>
  <si>
    <t>Sistem upah untuk Tenaga Kerja Asing (TKA) diatur dalam Undang-Undang No. 13 Tahun 2003 tentang Ketenagakerjaan. Berdasarkan Pasal 47, pemberi kerja wajib membayar kompensasi atas setiap tenaga kerja asing yang dipekerjakannya. Rincian mengenai besarnya kompensasi dan penggunaannya diatur lebih lanjut dengan Peraturan Pemerintah.
Hal ini menunjukkan bahwa meskipun ada kewajiban untuk membayar kompensasi, detail spesifik mengenai jumlah dan mekanisme pembayaran akan ditentukan oleh peraturan yang lebih lanjut.
Referensi:
Pasal 47
BAB VIII: PENGGUNAAN TENAGA KERJA ASING
Undang-Undang No. 13 Tahun 2003
Jika ada pertanyaan lebih lanjut mengenai aspek lain dari ketenagakerjaan atau TKA, silakan ajukan.</t>
  </si>
  <si>
    <t xml:space="preserve">apa langkah dalam pemutusan hubungan kerja
</t>
  </si>
  <si>
    <t>Dalam pemutusan hubungan kerja, terdapat beberapa langkah yang harus diikuti sesuai dengan ketentuan dalam Undang-Undang No. 13 Tahun 2003 tentang Ketenagakerjaan. Berikut adalah langkah-langkah yang relevan:
Usaha untuk Menghindari PHK: Pengusaha, pekerja/buruh, serikat pekerja/serikat buruh, dan pemerintah harus berusaha semaksimal mungkin untuk menghindari pemutusan hubungan kerja (Pasal 151 ayat 1).
Perundingan: Jika pemutusan hubungan kerja tidak dapat dihindari, pengusaha wajib melakukan perundingan dengan serikat pekerja/serikat buruh atau dengan pekerja/buruh jika tidak menjadi anggota serikat pekerja/serikat buruh (Pasal 151 ayat 2).
Penetapan Lembaga Penyelesaian Perselisihan: Jika perundingan tidak menghasilkan kesepakatan, pengusaha hanya dapat memutuskan hubungan kerja setelah memperoleh penetapan dari lembaga penyelesaian perselisihan hubungan industrial (Pasal 151 ayat 3).
Pemberitahuan Tertulis: Pengusaha wajib memberikan pemberitahuan secara tertulis kepada pekerja/buruh dan/atau serikat pekerja/serikat buruh serta instansi yang bertanggung jawab di bidang ketenagakerjaan setempat sekurang-kurangnya 7 (tujuh) hari kerja sebelum pemutusan hubungan kerja dilaksanakan (Pasal 148 ayat 1).
Alasan Pemutusan: Pemberitahuan harus mencantumkan alasan dan sebab-sebab pemutusan hubungan kerja (Pasal 148 ayat 2).
Larangan Pemutusan: Terdapat larangan bagi pengusaha untuk melakukan pemutusan hubungan kerja berdasarkan alasan tertentu, seperti pekerja yang sedang sakit, memenuhi kewajiban negara, atau sedang dalam masa hamil (Pasal 153).
Referensi:
Pasal 151, 148, dan 153, Bab XII: Pemutusan Hubungan Kerja, UU No. 13 Tahun 2003.
Demikianlah langkah-langkah dalam pemutusan hubungan kerja yang perlu diperhatikan. Jika Anda memerlukan informasi lebih lanjut, silakan tanyakan.</t>
  </si>
  <si>
    <t xml:space="preserve">berapa besar uang pesangon saat pelaksaan pemutusan hubungan kerja
</t>
  </si>
  <si>
    <t>Besar uang pesangon saat pemutusan hubungan kerja (PHK) diatur dalam Undang-Undang No. 13 Tahun 2003 tentang Ketenagakerjaan. Berikut adalah ketentuan yang relevan:
Pasal 164:
Jika perusahaan tutup karena mengalami kerugian terus menerus selama 2 tahun atau keadaan memaksa (force majeur), pekerja berhak atas uang pesangon sebesar 1 kali ketentuan Pasal 156 ayat (2), uang penghargaan masa kerja sebesar 1 kali ketentuan Pasal 156 ayat (3), dan uang penggantian hak sesuai ketentuan Pasal 156 ayat (4).
Jika perusahaan melakukan efisiensi, pekerja berhak atas uang pesangon sebesar 2 kali ketentuan Pasal 156 ayat (2) dan uang penggantian hak sesuai ketentuan Pasal 156 ayat (4).
Pasal 55:
Jika pemutusan hubungan kerja dilakukan karena pekerja mengalami sakit berkepanjangan atau cacat akibat kecelakaan kerja, pekerja berhak atas uang pesangon sebesar 2 kali ketentuan Pasal 40 ayat (2), uang penghargaan masa kerja sebesar 1 kali ketentuan Pasal 40 ayat (3), dan uang penggantian hak sesuai ketentuan Pasal 40 ayat (4).
Dokumen yang relevan adalah:
UU No. 13 Tahun 2003
Pasal 164 dan Pasal 55
Silakan merujuk pada pasal-pasal tersebut untuk informasi lebih lanjut mengenai hak-hak pekerja dalam hal pemutusan hubungan kerja.</t>
  </si>
  <si>
    <t xml:space="preserve">Apa yang dimaksud dengan perjanjian kerja waktu tertentu (PKWT)
</t>
  </si>
  <si>
    <t>Perjanjian Kerja Waktu Tertentu (PKWT) adalah perjanjian kerja yang dibuat untuk jangka waktu tertentu, dan harus dilakukan secara tertulis serta menggunakan bahasa Indonesia. PKWT tidak dapat mensyaratkan adanya masa percobaan kerja, dan jika masa percobaan disyaratkan, maka hal tersebut batal demi hukum.
Hal ini diatur dalam Undang-Undang No. 13 Tahun 2003 tentang Ketenagakerjaan, khususnya pada Pasal 57 dan Pasal 58.
Pasal 57 menyatakan bahwa:
Perjanjian kerja untuk waktu tertentu dibuat secara tertulis serta harus menggunakan bahasa Indonesia dan huruf latin.
Perjanjian kerja untuk waktu tertentu yang tidak tertulis akan dianggap sebagai perjanjian kerja untuk waktu tidak tertentu.
Dalam hal terdapat perbedaan penafsiran antara perjanjian kerja dalam bahasa Indonesia dan bahasa asing, yang berlaku adalah perjanjian kerja dalam bahasa Indonesia.
Pasal 58 mengatur bahwa:
Perjanjian kerja untuk waktu tertentu tidak dapat mensyaratkan adanya masa percobaan kerja.
Jika disyaratkan, masa percobaan kerja yang disyaratkan adalah batal demi hukum.
Dokumen yang relevan adalah Undang-Undang No. 13 Tahun 2003, Bab IX: Hubungan Kerja.</t>
  </si>
  <si>
    <t>Apa yang diatur dalam Pasal 59 UU Ketenagakerjaan?</t>
  </si>
  <si>
    <t>Pasal 59 Undang-Undang No. 13 Tahun 2003 tentang Ketenagakerjaan mengatur mengenai perjanjian kerja untuk waktu tertentu. Berikut adalah poin-poin penting yang diatur dalam pasal tersebut:
Perjanjian kerja untuk waktu tertentu hanya dapat dibuat untuk pekerjaan tertentu yang sifatnya sementara atau yang akan selesai dalam waktu tertentu, seperti:
Pekerjaan yang sekali selesai atau sementara.
Pekerjaan yang diperkirakan penyelesaiannya dalam waktu tidak terlalu lama, paling lama 3 tahun.
Pekerjaan yang bersifat musiman.
Pekerjaan yang berhubungan dengan produk baru atau kegiatan baru yang masih dalam percobaan.
Perjanjian kerja untuk waktu tertentu tidak dapat digunakan untuk pekerjaan yang bersifat tetap.
Perjanjian tersebut dapat diperpanjang atau diperbaharui dengan ketentuan tertentu.
Perjanjian kerja waktu tertentu dapat diadakan untuk paling lama 2 tahun dan hanya boleh diperpanjang satu kali untuk jangka waktu paling lama 1 tahun.
Pengusaha harus memberitahukan secara tertulis kepada pekerja mengenai rencana perpanjangan perjanjian paling lambat 7 hari sebelum perjanjian berakhir.
Pembaruan perjanjian hanya dapat dilakukan setelah melewati masa tenggang 30 hari dari berakhirnya perjanjian sebelumnya, dan hanya boleh dilakukan satu kali dengan durasi maksimum 2 tahun.
Jika perjanjian kerja tidak memenuhi ketentuan yang disebutkan, maka secara hukum akan dianggap sebagai perjanjian kerja waktu tidak tertentu.
Hal-hal lain yang belum diatur dalam pasal ini akan diatur lebih lanjut dengan Keputusan Menteri.
Dokumen yang relevan adalah UU No. 13 Tahun 2003, Bab IX: Hubungan Kerja.</t>
  </si>
  <si>
    <t>apa syarat pekerja mendapatkan THR</t>
  </si>
  <si>
    <t>Berdasarkan peraturan yang berlaku, syarat bagi pekerja untuk mendapatkan Tunjangan Hari Raya (THR) diatur dalam Undang-Undang No. 13 Tahun 2003 tentang Ketenagakerjaan.
Secara umum, pekerja berhak mendapatkan THR apabila memenuhi syarat sebagai berikut:
Pekerja yang telah bekerja selama 1 bulan secara terus menerus atau lebih.
Besaran THR yang diberikan biasanya disesuaikan dengan masa kerja pekerja.
THR merupakan pendapatan non-upah yang diberikan oleh pengusaha kepada pekerja menjelang hari raya keagamaan.
Informasi lebih lanjut mengenai THR dapat ditemukan dalam Pasal 8 dari Peraturan Pemerintah No. 36 Tahun 2021 tentang Pengupahan.
Referensi:
Pasal 8, BAB II: Kebijakan Pengupahan, PP No. 36 Tahun 2021
Pasal 179 dan Pasal 178, BAB XIV: Pengawasan, UU No. 13 Tahun 2003
Maaf, jika ada perubahan dokumen yang relevan, saya tidak memiliki informasi tersebut.</t>
  </si>
  <si>
    <t xml:space="preserve">Apakah aturan PKWT berlaku untuk pekerja outsourcing?
</t>
  </si>
  <si>
    <t>Dalam konteks hukum ketenagakerjaan di Indonesia, aturan mengenai Perjanjian Kerja Waktu Tertentu (PKWT) juga berlaku untuk pekerja outsourcing. Hal ini merujuk pada ketentuan dalam Undang-Undang No. 13 Tahun 2003 tentang Ketenagakerjaan, khususnya pada Pasal 57 yang menyatakan bahwa perjanjian kerja untuk waktu tertentu harus dibuat secara tertulis.
Namun, penting untuk dicatat bahwa ketentuan lebih lanjut mengenai PKWT dan pekerja outsourcing diatur dalam Peraturan Pemerintah No. 35 Tahun 2021. Dalam hal ini, PKWT yang telah ada dan jangka waktunya belum berakhir tetap berlaku sampai dengan berakhirnya PKWT tersebut (Pasal 63).
Sebagai tambahan, perlu diingat bahwa pengusaha yang melanggar ketentuan yang terkait dengan PKWT dapat dikenakan sanksi administratif sesuai dengan ketentuan yang diatur dalam Pasal 61 dan Pasal 62 PP No. 35 Tahun 2021.
Referensi:
UU No. 13 Tahun 2003, Pasal 57
PP No. 35 Tahun 2021, Pasal 63, Pasal 61, dan Pasal 62</t>
  </si>
  <si>
    <t>TP</t>
  </si>
  <si>
    <t>TN</t>
  </si>
  <si>
    <t>Accuracy</t>
  </si>
  <si>
    <t>Precision</t>
  </si>
  <si>
    <t>Recall</t>
  </si>
  <si>
    <t>FN</t>
  </si>
  <si>
    <t>F1</t>
  </si>
  <si>
    <t>Specifity</t>
  </si>
  <si>
    <t>apa itu serikat buruh</t>
  </si>
  <si>
    <t>MEMUTUSKAN : Menetapkan : UNDANG-UNDANG TENTANG SERIKAT PEKERJA/SERIKAT BURUH. BAB I KETENTUAN UMUM Pasal 1 Dalam Undang-undang ini yang dimaksud dengan : 1. Serikat pekerja/serikat buruh adalah organisasi yang dibentuk dari, oleh, dan untuk pekerja/buruh baik di perusahaan maupun di luar perusahaan...</t>
  </si>
  <si>
    <t>apa itu pengusaha</t>
  </si>
  <si>
    <t>apa yang harus ada pada anggaran dasar</t>
  </si>
  <si>
    <t>dasar atau anggaran rumah tangga; b. hasil usaha yang sah; dan c. bantuan anggota atau pihak lain yang tidak mengikat. Pasal 31 … Pasal 31 (1) Dalam hal bantuan pihak lain, sebagaimana dimaksud dalam Pasal 30 huruf c, berasal dari luar negeri, pengurus serikat pekerja/serikat buruh, federasi dan kon...</t>
  </si>
  <si>
    <t>apa itu keberfungsian sosial</t>
  </si>
  <si>
    <t>Pekerjaan Sosial adalah penyelenggaraan pertolongan profesional yang terencana, terpadu, berkesinambungan dan tersupervisi untuk mencegah disfungsi sosial, serta memulihkan dan meningkatkan keberfungsian sosial individu, keluarga, kelompok, dan masyarakat. 3. Keberfungsian Sosial adalah suatu kondis...</t>
  </si>
  <si>
    <t>Pekerja Sosial melaksanakan Praktik Pekerjaan Sosial dengan berasaskan:</t>
  </si>
  <si>
    <t>untuk 2 (dua) tempat praktik mandiri. Pasal 39 SIPPS tidak berlaku karena: a. dicabut berdasarkan ketentuan Peraturan Perundang- undangan; b. habis masa berlakunya; c. atas permintaan Pekerja Sosial; atau d. Pekerja Sosial meninggal dunia. Pasal 40 Ketentuan lebih lanjut mengenai izin praktik diatur...</t>
  </si>
  <si>
    <t>apa isi uu no 14 tahun 2019 pasal 2</t>
  </si>
  <si>
    <t>menyusun tata cara pelaksanaan Uji Kompetensi; d. melakukan pembinaan terhadap penyelenggaran Praktik Pekerjaan Sosial bekerja sama dengan Organisasi Pekerja Sosial; e. melakukan pengawasan penyelenggaraan Praktik Pekerjaan Sosial oleh Organisasi Pekerja Sosial; f. mendorong tersedianya sarana pendi...</t>
  </si>
  <si>
    <t>berapa nilai penyertaan modal ke dalam modal saham Perusahaan Perseroan (PERSERO) PT Jaminan Sosial Tenaga Kerja yang didirikan berdasarkan Peraturan Pemerintah Nomor 19 Tahun 1990. Pasal 2</t>
  </si>
  <si>
    <t>Pasal 2 ayat (1), maka seluruh penyertaan modal Negara ke dalam modal saham Perusahaan Perseroan (PERSERO) PT Jaminan Sosial Tenaga Kerja meningkat menjadi Rp125.000.000.000,00 (seratus dua puluh lima miliar rupiah). BAB II PELAKSANAAN PENAMBAHAN PENYERTAAN MODAL Pasal 4 Pelaksanaan penambahan penye...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</si>
</sst>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9"/>
      <color rgb="FF31333F"/>
      <name val="Arial"/>
      <family val="2"/>
    </font>
    <font>
      <sz val="9"/>
      <color theme="1"/>
      <name val="Aptos Narrow"/>
      <family val="2"/>
      <scheme val="minor"/>
    </font>
    <font>
      <sz val="8"/>
      <color rgb="FF333333"/>
      <name val="Segoe UI"/>
      <family val="2"/>
    </font>
  </fonts>
  <fills count="3">
    <fill>
      <patternFill patternType="none"/>
    </fill>
    <fill>
      <patternFill patternType="gray125"/>
    </fill>
    <fill>
      <patternFill patternType="solid">
        <fgColor theme="3" tint="0.74999237037263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1">
    <xf numFmtId="0" fontId="0" fillId="0" borderId="0"/>
  </cellStyleXfs>
  <cellXfs count="19">
    <xf numFmtId="0" fontId="0" fillId="0" borderId="0" xfId="0"/>
    <xf numFmtId="0" fontId="0" fillId="0" borderId="1" xfId="0" applyBorder="1"/>
    <xf numFmtId="0" fontId="1" fillId="2" borderId="1" xfId="0" applyFont="1" applyFill="1" applyBorder="1"/>
    <xf numFmtId="0" fontId="1" fillId="2" borderId="1" xfId="0" applyFont="1" applyFill="1" applyBorder="1" applyAlignment="1">
      <alignment wrapText="1"/>
    </xf>
    <xf numFmtId="0" fontId="0" fillId="0" borderId="0" xfId="0" applyAlignment="1">
      <alignment wrapText="1"/>
    </xf>
    <xf numFmtId="0" fontId="2" fillId="0" borderId="1" xfId="0" applyFont="1" applyBorder="1" applyAlignment="1">
      <alignment wrapText="1"/>
    </xf>
    <xf numFmtId="0" fontId="3" fillId="0" borderId="1" xfId="0" applyFont="1" applyBorder="1" applyAlignment="1">
      <alignment wrapText="1"/>
    </xf>
    <xf numFmtId="0" fontId="3" fillId="0" borderId="0" xfId="0" applyFont="1" applyAlignment="1">
      <alignment wrapText="1"/>
    </xf>
    <xf numFmtId="0" fontId="1" fillId="2" borderId="2" xfId="0" applyFont="1" applyFill="1" applyBorder="1"/>
    <xf numFmtId="0" fontId="0" fillId="0" borderId="3" xfId="0" applyBorder="1"/>
    <xf numFmtId="9" fontId="0" fillId="0" borderId="0" xfId="0" applyNumberFormat="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0" fillId="0" borderId="1" xfId="0" applyBorder="1" applyAlignment="1">
      <alignment horizontal="center" vertical="center"/>
    </xf>
    <xf numFmtId="0" fontId="4" fillId="0" borderId="1" xfId="0" applyFont="1" applyBorder="1" applyAlignment="1">
      <alignment horizontal="left" vertical="center" wrapText="1"/>
    </xf>
    <xf numFmtId="0" fontId="0" fillId="0" borderId="1" xfId="0" applyBorder="1" applyAlignment="1">
      <alignment wrapText="1"/>
    </xf>
    <xf numFmtId="0" fontId="0" fillId="0" borderId="1" xfId="0" applyBorder="1" applyAlignment="1">
      <alignment horizontal="left" vertical="center" wrapText="1"/>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46E19-AE99-46EA-92B3-7EC24238164E}">
  <dimension ref="A1:F62"/>
  <sheetViews>
    <sheetView tabSelected="1" zoomScaleNormal="100" workbookViewId="0">
      <selection activeCell="L4" sqref="L4"/>
    </sheetView>
  </sheetViews>
  <sheetFormatPr defaultRowHeight="15" x14ac:dyDescent="0.25"/>
  <cols>
    <col min="2" max="2" width="35.7109375" style="7" customWidth="1"/>
    <col min="3" max="3" width="60.85546875" style="7" customWidth="1"/>
    <col min="4" max="4" width="16" bestFit="1" customWidth="1"/>
    <col min="5" max="5" width="9" customWidth="1"/>
  </cols>
  <sheetData>
    <row r="1" spans="1:6" x14ac:dyDescent="0.25">
      <c r="B1" s="4"/>
      <c r="C1" s="4"/>
    </row>
    <row r="2" spans="1:6" x14ac:dyDescent="0.25">
      <c r="B2" s="3" t="s">
        <v>0</v>
      </c>
      <c r="C2" s="3" t="s">
        <v>1</v>
      </c>
      <c r="D2" s="8" t="s">
        <v>2</v>
      </c>
      <c r="E2" s="2" t="s">
        <v>3</v>
      </c>
    </row>
    <row r="3" spans="1:6" ht="180.75" x14ac:dyDescent="0.25">
      <c r="A3">
        <v>1</v>
      </c>
      <c r="B3" s="5" t="s">
        <v>4</v>
      </c>
      <c r="C3" s="6" t="s">
        <v>6</v>
      </c>
      <c r="D3" s="1" t="s">
        <v>5</v>
      </c>
      <c r="E3" s="1">
        <v>1</v>
      </c>
      <c r="F3" s="9" t="s">
        <v>96</v>
      </c>
    </row>
    <row r="4" spans="1:6" ht="324.75" x14ac:dyDescent="0.25">
      <c r="A4">
        <v>2</v>
      </c>
      <c r="B4" s="6" t="s">
        <v>7</v>
      </c>
      <c r="C4" s="6" t="s">
        <v>8</v>
      </c>
      <c r="D4" s="1" t="s">
        <v>9</v>
      </c>
      <c r="E4" s="1">
        <v>1</v>
      </c>
      <c r="F4" s="9" t="s">
        <v>96</v>
      </c>
    </row>
    <row r="5" spans="1:6" ht="228.75" x14ac:dyDescent="0.25">
      <c r="A5">
        <v>3</v>
      </c>
      <c r="B5" s="6" t="s">
        <v>10</v>
      </c>
      <c r="C5" s="6" t="s">
        <v>11</v>
      </c>
      <c r="D5" s="1" t="s">
        <v>9</v>
      </c>
      <c r="E5" s="1">
        <v>1</v>
      </c>
      <c r="F5" s="9" t="s">
        <v>96</v>
      </c>
    </row>
    <row r="6" spans="1:6" ht="228.75" x14ac:dyDescent="0.25">
      <c r="A6">
        <v>4</v>
      </c>
      <c r="B6" s="6" t="s">
        <v>12</v>
      </c>
      <c r="C6" s="6" t="s">
        <v>13</v>
      </c>
      <c r="D6" s="1" t="s">
        <v>9</v>
      </c>
      <c r="E6" s="1"/>
      <c r="F6" s="1" t="s">
        <v>96</v>
      </c>
    </row>
    <row r="7" spans="1:6" ht="204.75" x14ac:dyDescent="0.25">
      <c r="A7">
        <v>5</v>
      </c>
      <c r="B7" s="6" t="s">
        <v>14</v>
      </c>
      <c r="C7" s="6" t="s">
        <v>15</v>
      </c>
      <c r="D7" s="1" t="s">
        <v>9</v>
      </c>
      <c r="E7" s="1"/>
      <c r="F7" s="1" t="s">
        <v>96</v>
      </c>
    </row>
    <row r="8" spans="1:6" ht="372.75" x14ac:dyDescent="0.25">
      <c r="A8">
        <v>6</v>
      </c>
      <c r="B8" s="6" t="s">
        <v>16</v>
      </c>
      <c r="C8" s="6" t="s">
        <v>17</v>
      </c>
      <c r="D8" s="1" t="s">
        <v>9</v>
      </c>
      <c r="E8" s="1"/>
      <c r="F8" s="1" t="s">
        <v>96</v>
      </c>
    </row>
    <row r="9" spans="1:6" ht="204.75" x14ac:dyDescent="0.25">
      <c r="A9">
        <v>7</v>
      </c>
      <c r="B9" s="6" t="s">
        <v>18</v>
      </c>
      <c r="C9" s="6" t="s">
        <v>19</v>
      </c>
      <c r="D9" s="1" t="s">
        <v>9</v>
      </c>
      <c r="E9" s="1"/>
      <c r="F9" s="1" t="s">
        <v>96</v>
      </c>
    </row>
    <row r="10" spans="1:6" ht="192.75" x14ac:dyDescent="0.25">
      <c r="A10">
        <v>8</v>
      </c>
      <c r="B10" s="6" t="s">
        <v>20</v>
      </c>
      <c r="C10" s="6" t="s">
        <v>21</v>
      </c>
      <c r="D10" s="1" t="s">
        <v>5</v>
      </c>
      <c r="E10" s="1"/>
      <c r="F10" s="1" t="s">
        <v>96</v>
      </c>
    </row>
    <row r="11" spans="1:6" ht="24.75" x14ac:dyDescent="0.25">
      <c r="A11">
        <v>9</v>
      </c>
      <c r="B11" s="6" t="s">
        <v>22</v>
      </c>
      <c r="C11" s="6" t="s">
        <v>23</v>
      </c>
      <c r="D11" s="1" t="s">
        <v>5</v>
      </c>
      <c r="E11" s="1">
        <v>1</v>
      </c>
      <c r="F11" s="1" t="s">
        <v>97</v>
      </c>
    </row>
    <row r="12" spans="1:6" ht="409.6" x14ac:dyDescent="0.25">
      <c r="A12">
        <v>10</v>
      </c>
      <c r="B12" s="6" t="s">
        <v>24</v>
      </c>
      <c r="C12" s="6" t="s">
        <v>25</v>
      </c>
      <c r="D12" s="1" t="s">
        <v>5</v>
      </c>
      <c r="E12" s="1"/>
      <c r="F12" s="1" t="s">
        <v>96</v>
      </c>
    </row>
    <row r="13" spans="1:6" ht="96.75" x14ac:dyDescent="0.25">
      <c r="A13">
        <v>11</v>
      </c>
      <c r="B13" s="6" t="s">
        <v>26</v>
      </c>
      <c r="C13" s="6" t="s">
        <v>27</v>
      </c>
      <c r="D13" s="1" t="s">
        <v>5</v>
      </c>
      <c r="E13" s="1"/>
      <c r="F13" s="1" t="s">
        <v>96</v>
      </c>
    </row>
    <row r="14" spans="1:6" ht="409.6" x14ac:dyDescent="0.25">
      <c r="A14">
        <v>12</v>
      </c>
      <c r="B14" s="6" t="s">
        <v>28</v>
      </c>
      <c r="C14" s="6" t="s">
        <v>29</v>
      </c>
      <c r="D14" s="1" t="s">
        <v>9</v>
      </c>
      <c r="E14" s="1"/>
      <c r="F14" s="1" t="s">
        <v>96</v>
      </c>
    </row>
    <row r="15" spans="1:6" ht="144.75" x14ac:dyDescent="0.25">
      <c r="A15">
        <v>13</v>
      </c>
      <c r="B15" s="6" t="s">
        <v>31</v>
      </c>
      <c r="C15" s="6" t="s">
        <v>30</v>
      </c>
      <c r="D15" s="1" t="s">
        <v>9</v>
      </c>
      <c r="E15" s="1"/>
      <c r="F15" s="1" t="s">
        <v>96</v>
      </c>
    </row>
    <row r="16" spans="1:6" ht="252.75" x14ac:dyDescent="0.25">
      <c r="A16">
        <v>14</v>
      </c>
      <c r="B16" s="6" t="s">
        <v>32</v>
      </c>
      <c r="C16" s="6" t="s">
        <v>33</v>
      </c>
      <c r="D16" s="1" t="s">
        <v>9</v>
      </c>
      <c r="E16" s="1"/>
      <c r="F16" s="1" t="s">
        <v>96</v>
      </c>
    </row>
    <row r="17" spans="1:6" ht="180.75" x14ac:dyDescent="0.25">
      <c r="A17">
        <v>15</v>
      </c>
      <c r="B17" s="6" t="s">
        <v>34</v>
      </c>
      <c r="C17" s="6" t="s">
        <v>35</v>
      </c>
      <c r="D17" s="1" t="s">
        <v>9</v>
      </c>
      <c r="E17" s="1"/>
      <c r="F17" s="1" t="s">
        <v>96</v>
      </c>
    </row>
    <row r="18" spans="1:6" ht="36.75" x14ac:dyDescent="0.25">
      <c r="B18" s="6" t="s">
        <v>36</v>
      </c>
      <c r="C18" s="6" t="s">
        <v>37</v>
      </c>
      <c r="D18" s="1"/>
      <c r="E18" s="1"/>
      <c r="F18" s="1" t="s">
        <v>97</v>
      </c>
    </row>
    <row r="19" spans="1:6" ht="36.75" x14ac:dyDescent="0.25">
      <c r="B19" s="6" t="s">
        <v>38</v>
      </c>
      <c r="C19" s="6" t="s">
        <v>37</v>
      </c>
      <c r="D19" s="1"/>
      <c r="E19" s="1"/>
      <c r="F19" s="1" t="s">
        <v>97</v>
      </c>
    </row>
    <row r="20" spans="1:6" ht="36.75" x14ac:dyDescent="0.25">
      <c r="B20" s="6" t="s">
        <v>39</v>
      </c>
      <c r="C20" s="6" t="s">
        <v>37</v>
      </c>
      <c r="D20" s="1"/>
      <c r="E20" s="1"/>
      <c r="F20" s="1" t="s">
        <v>97</v>
      </c>
    </row>
    <row r="21" spans="1:6" ht="180.75" x14ac:dyDescent="0.25">
      <c r="B21" s="6" t="s">
        <v>40</v>
      </c>
      <c r="C21" s="6" t="s">
        <v>41</v>
      </c>
      <c r="D21" s="1" t="s">
        <v>9</v>
      </c>
      <c r="E21" s="1">
        <v>1</v>
      </c>
      <c r="F21" s="1" t="s">
        <v>96</v>
      </c>
    </row>
    <row r="22" spans="1:6" ht="108.75" x14ac:dyDescent="0.25">
      <c r="B22" s="6" t="s">
        <v>42</v>
      </c>
      <c r="C22" s="6" t="s">
        <v>43</v>
      </c>
      <c r="D22" s="1"/>
      <c r="E22" s="1"/>
      <c r="F22" s="1" t="s">
        <v>96</v>
      </c>
    </row>
    <row r="23" spans="1:6" ht="36.75" x14ac:dyDescent="0.25">
      <c r="B23" s="6" t="s">
        <v>45</v>
      </c>
      <c r="C23" s="6" t="s">
        <v>37</v>
      </c>
      <c r="D23" s="1"/>
      <c r="E23" s="1">
        <v>0</v>
      </c>
      <c r="F23" s="1" t="s">
        <v>101</v>
      </c>
    </row>
    <row r="24" spans="1:6" ht="36.75" x14ac:dyDescent="0.25">
      <c r="B24" s="6" t="s">
        <v>44</v>
      </c>
      <c r="C24" s="6" t="s">
        <v>37</v>
      </c>
      <c r="D24" s="1"/>
      <c r="E24" s="1"/>
      <c r="F24" s="1" t="s">
        <v>97</v>
      </c>
    </row>
    <row r="25" spans="1:6" ht="132.75" x14ac:dyDescent="0.25">
      <c r="B25" s="6" t="s">
        <v>46</v>
      </c>
      <c r="C25" s="6" t="s">
        <v>47</v>
      </c>
      <c r="D25" s="1"/>
      <c r="E25" s="1"/>
      <c r="F25" s="1" t="s">
        <v>96</v>
      </c>
    </row>
    <row r="26" spans="1:6" ht="24.75" x14ac:dyDescent="0.25">
      <c r="B26" s="6" t="s">
        <v>48</v>
      </c>
      <c r="C26" s="6" t="s">
        <v>23</v>
      </c>
      <c r="D26" s="1"/>
      <c r="E26" s="1">
        <v>0</v>
      </c>
      <c r="F26" s="1" t="s">
        <v>101</v>
      </c>
    </row>
    <row r="27" spans="1:6" ht="396.75" x14ac:dyDescent="0.25">
      <c r="B27" s="6" t="s">
        <v>49</v>
      </c>
      <c r="C27" s="6" t="s">
        <v>50</v>
      </c>
      <c r="D27" s="1"/>
      <c r="E27" s="1"/>
      <c r="F27" s="1" t="s">
        <v>96</v>
      </c>
    </row>
    <row r="28" spans="1:6" ht="60.75" x14ac:dyDescent="0.25">
      <c r="B28" s="6" t="s">
        <v>51</v>
      </c>
      <c r="C28" s="6" t="s">
        <v>52</v>
      </c>
      <c r="D28" s="1"/>
      <c r="E28" s="1"/>
      <c r="F28" s="1" t="s">
        <v>96</v>
      </c>
    </row>
    <row r="29" spans="1:6" ht="348.75" x14ac:dyDescent="0.25">
      <c r="B29" s="6" t="s">
        <v>53</v>
      </c>
      <c r="C29" s="6" t="s">
        <v>54</v>
      </c>
      <c r="D29" s="1"/>
      <c r="E29" s="1"/>
      <c r="F29" s="1" t="s">
        <v>96</v>
      </c>
    </row>
    <row r="30" spans="1:6" ht="204.75" x14ac:dyDescent="0.25">
      <c r="B30" s="6" t="s">
        <v>55</v>
      </c>
      <c r="C30" s="6" t="s">
        <v>56</v>
      </c>
      <c r="D30" s="1"/>
      <c r="E30" s="1"/>
      <c r="F30" s="1" t="s">
        <v>96</v>
      </c>
    </row>
    <row r="31" spans="1:6" ht="132.75" x14ac:dyDescent="0.25">
      <c r="B31" s="6" t="s">
        <v>57</v>
      </c>
      <c r="C31" s="6" t="s">
        <v>58</v>
      </c>
      <c r="D31" s="1"/>
      <c r="E31" s="1"/>
      <c r="F31" s="1" t="s">
        <v>96</v>
      </c>
    </row>
    <row r="32" spans="1:6" ht="168.75" x14ac:dyDescent="0.25">
      <c r="B32" s="6" t="s">
        <v>59</v>
      </c>
      <c r="C32" s="6" t="s">
        <v>60</v>
      </c>
      <c r="D32" s="1"/>
      <c r="E32" s="1"/>
      <c r="F32" s="1" t="s">
        <v>96</v>
      </c>
    </row>
    <row r="33" spans="2:6" ht="180.75" x14ac:dyDescent="0.25">
      <c r="B33" s="6" t="s">
        <v>61</v>
      </c>
      <c r="C33" s="6" t="s">
        <v>62</v>
      </c>
      <c r="D33" s="1"/>
      <c r="E33" s="1"/>
      <c r="F33" s="1" t="s">
        <v>96</v>
      </c>
    </row>
    <row r="34" spans="2:6" ht="36.75" x14ac:dyDescent="0.25">
      <c r="B34" s="6" t="s">
        <v>63</v>
      </c>
      <c r="C34" s="6" t="s">
        <v>37</v>
      </c>
      <c r="D34" s="1"/>
      <c r="E34" s="1">
        <v>0</v>
      </c>
      <c r="F34" s="1" t="s">
        <v>101</v>
      </c>
    </row>
    <row r="35" spans="2:6" ht="36.75" x14ac:dyDescent="0.25">
      <c r="B35" s="6" t="s">
        <v>64</v>
      </c>
      <c r="C35" s="6" t="s">
        <v>37</v>
      </c>
      <c r="D35" s="1"/>
      <c r="E35" s="1"/>
      <c r="F35" s="1" t="s">
        <v>97</v>
      </c>
    </row>
    <row r="36" spans="2:6" ht="180.75" x14ac:dyDescent="0.25">
      <c r="B36" s="6" t="s">
        <v>65</v>
      </c>
      <c r="C36" s="6" t="s">
        <v>66</v>
      </c>
      <c r="D36" s="1"/>
      <c r="E36" s="1"/>
      <c r="F36" s="1" t="s">
        <v>96</v>
      </c>
    </row>
    <row r="37" spans="2:6" ht="36.75" x14ac:dyDescent="0.25">
      <c r="B37" s="6" t="s">
        <v>67</v>
      </c>
      <c r="C37" s="6" t="s">
        <v>37</v>
      </c>
      <c r="D37" s="1"/>
      <c r="E37" s="1">
        <v>0</v>
      </c>
      <c r="F37" s="1" t="s">
        <v>101</v>
      </c>
    </row>
    <row r="38" spans="2:6" ht="168.75" x14ac:dyDescent="0.25">
      <c r="B38" s="6" t="s">
        <v>68</v>
      </c>
      <c r="C38" s="6" t="s">
        <v>69</v>
      </c>
      <c r="D38" s="1"/>
      <c r="E38" s="1"/>
      <c r="F38" s="1" t="s">
        <v>96</v>
      </c>
    </row>
    <row r="39" spans="2:6" ht="36.75" x14ac:dyDescent="0.25">
      <c r="B39" s="6" t="s">
        <v>70</v>
      </c>
      <c r="C39" s="6" t="s">
        <v>37</v>
      </c>
      <c r="D39" s="1"/>
      <c r="E39" s="1">
        <v>0</v>
      </c>
      <c r="F39" s="1" t="s">
        <v>101</v>
      </c>
    </row>
    <row r="40" spans="2:6" ht="288.75" x14ac:dyDescent="0.25">
      <c r="B40" s="6" t="s">
        <v>71</v>
      </c>
      <c r="C40" s="6" t="s">
        <v>72</v>
      </c>
      <c r="D40" s="1"/>
      <c r="E40" s="1"/>
      <c r="F40" s="1" t="s">
        <v>96</v>
      </c>
    </row>
    <row r="41" spans="2:6" ht="240.75" x14ac:dyDescent="0.25">
      <c r="B41" s="6" t="s">
        <v>77</v>
      </c>
      <c r="C41" s="6" t="s">
        <v>78</v>
      </c>
      <c r="D41" s="1"/>
      <c r="E41" s="1"/>
      <c r="F41" s="1" t="s">
        <v>96</v>
      </c>
    </row>
    <row r="42" spans="2:6" ht="216.75" x14ac:dyDescent="0.25">
      <c r="B42" s="6" t="s">
        <v>73</v>
      </c>
      <c r="C42" s="6" t="s">
        <v>74</v>
      </c>
      <c r="D42" s="1"/>
      <c r="E42" s="1"/>
      <c r="F42" s="1" t="s">
        <v>96</v>
      </c>
    </row>
    <row r="43" spans="2:6" ht="204.75" x14ac:dyDescent="0.25">
      <c r="B43" s="6" t="s">
        <v>75</v>
      </c>
      <c r="C43" s="6" t="s">
        <v>76</v>
      </c>
      <c r="D43" s="1"/>
      <c r="E43" s="1"/>
      <c r="F43" s="1" t="s">
        <v>96</v>
      </c>
    </row>
    <row r="44" spans="2:6" ht="36.75" x14ac:dyDescent="0.25">
      <c r="B44" s="6" t="s">
        <v>79</v>
      </c>
      <c r="C44" s="6" t="s">
        <v>37</v>
      </c>
      <c r="D44" s="1"/>
      <c r="E44" s="1"/>
      <c r="F44" s="1" t="s">
        <v>97</v>
      </c>
    </row>
    <row r="45" spans="2:6" ht="312.75" x14ac:dyDescent="0.25">
      <c r="B45" s="6" t="s">
        <v>80</v>
      </c>
      <c r="C45" s="6" t="s">
        <v>81</v>
      </c>
      <c r="D45" s="1"/>
      <c r="E45" s="1"/>
      <c r="F45" s="1" t="s">
        <v>96</v>
      </c>
    </row>
    <row r="46" spans="2:6" ht="204.75" x14ac:dyDescent="0.25">
      <c r="B46" s="6" t="s">
        <v>82</v>
      </c>
      <c r="C46" s="6" t="s">
        <v>83</v>
      </c>
      <c r="D46" s="1"/>
      <c r="E46" s="1"/>
      <c r="F46" s="1" t="s">
        <v>96</v>
      </c>
    </row>
    <row r="47" spans="2:6" ht="409.6" x14ac:dyDescent="0.25">
      <c r="B47" s="6" t="s">
        <v>84</v>
      </c>
      <c r="C47" s="6" t="s">
        <v>85</v>
      </c>
      <c r="D47" s="1"/>
      <c r="E47" s="1"/>
      <c r="F47" s="1" t="s">
        <v>96</v>
      </c>
    </row>
    <row r="48" spans="2:6" ht="312.75" x14ac:dyDescent="0.25">
      <c r="B48" s="6" t="s">
        <v>86</v>
      </c>
      <c r="C48" s="6" t="s">
        <v>87</v>
      </c>
      <c r="D48" s="1"/>
      <c r="E48" s="1"/>
      <c r="F48" s="1" t="s">
        <v>96</v>
      </c>
    </row>
    <row r="49" spans="2:6" ht="288.75" x14ac:dyDescent="0.25">
      <c r="B49" s="6" t="s">
        <v>88</v>
      </c>
      <c r="C49" s="6" t="s">
        <v>89</v>
      </c>
      <c r="D49" s="1"/>
      <c r="E49" s="1"/>
      <c r="F49" s="1" t="s">
        <v>96</v>
      </c>
    </row>
    <row r="50" spans="2:6" ht="409.6" x14ac:dyDescent="0.25">
      <c r="B50" s="6" t="s">
        <v>90</v>
      </c>
      <c r="C50" s="6" t="s">
        <v>91</v>
      </c>
      <c r="D50" s="1"/>
      <c r="E50" s="1"/>
      <c r="F50" s="1" t="s">
        <v>96</v>
      </c>
    </row>
    <row r="51" spans="2:6" ht="252.75" x14ac:dyDescent="0.25">
      <c r="B51" s="6" t="s">
        <v>92</v>
      </c>
      <c r="C51" s="6" t="s">
        <v>93</v>
      </c>
      <c r="D51" s="1"/>
      <c r="E51" s="1"/>
      <c r="F51" s="1" t="s">
        <v>96</v>
      </c>
    </row>
    <row r="52" spans="2:6" ht="228.75" x14ac:dyDescent="0.25">
      <c r="B52" s="6" t="s">
        <v>94</v>
      </c>
      <c r="C52" s="6" t="s">
        <v>95</v>
      </c>
      <c r="D52" s="1"/>
      <c r="E52" s="1"/>
      <c r="F52" s="1" t="s">
        <v>96</v>
      </c>
    </row>
    <row r="54" spans="2:6" x14ac:dyDescent="0.25">
      <c r="E54" t="s">
        <v>96</v>
      </c>
      <c r="F54">
        <f>COUNTIF(F2:F52,"TP")</f>
        <v>38</v>
      </c>
    </row>
    <row r="55" spans="2:6" x14ac:dyDescent="0.25">
      <c r="E55" t="s">
        <v>97</v>
      </c>
      <c r="F55">
        <f>COUNTIF(F2:F52,"TN")</f>
        <v>7</v>
      </c>
    </row>
    <row r="56" spans="2:6" x14ac:dyDescent="0.25">
      <c r="E56" t="s">
        <v>101</v>
      </c>
      <c r="F56">
        <f>COUNTIF(F2:F52,"FN")</f>
        <v>5</v>
      </c>
    </row>
    <row r="58" spans="2:6" x14ac:dyDescent="0.25">
      <c r="E58" t="s">
        <v>98</v>
      </c>
      <c r="F58" s="10">
        <v>0.9</v>
      </c>
    </row>
    <row r="59" spans="2:6" x14ac:dyDescent="0.25">
      <c r="E59" t="s">
        <v>99</v>
      </c>
      <c r="F59">
        <f>F54/(F54)</f>
        <v>1</v>
      </c>
    </row>
    <row r="60" spans="2:6" x14ac:dyDescent="0.25">
      <c r="E60" t="s">
        <v>100</v>
      </c>
      <c r="F60">
        <f>F54/(F54+F56)</f>
        <v>0.88372093023255816</v>
      </c>
    </row>
    <row r="61" spans="2:6" x14ac:dyDescent="0.25">
      <c r="E61" t="s">
        <v>102</v>
      </c>
      <c r="F61">
        <f>2*(F59*F60)/(F59+F60)</f>
        <v>0.93827160493827166</v>
      </c>
    </row>
    <row r="62" spans="2:6" x14ac:dyDescent="0.25">
      <c r="E62" t="s">
        <v>103</v>
      </c>
      <c r="F62">
        <f>F55/(F55)</f>
        <v>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777C50-C83B-4A5B-971B-72266BC25712}">
  <dimension ref="B2:D22"/>
  <sheetViews>
    <sheetView topLeftCell="A4" workbookViewId="0">
      <selection activeCell="I14" sqref="I14"/>
    </sheetView>
  </sheetViews>
  <sheetFormatPr defaultRowHeight="15" x14ac:dyDescent="0.25"/>
  <cols>
    <col min="2" max="2" width="25.140625" customWidth="1"/>
    <col min="3" max="3" width="84.85546875" customWidth="1"/>
  </cols>
  <sheetData>
    <row r="2" spans="2:4" ht="30" x14ac:dyDescent="0.25">
      <c r="B2" s="11" t="s">
        <v>0</v>
      </c>
      <c r="C2" s="11" t="s">
        <v>1</v>
      </c>
      <c r="D2" s="12" t="s">
        <v>3</v>
      </c>
    </row>
    <row r="3" spans="2:4" ht="42" x14ac:dyDescent="0.25">
      <c r="B3" s="13" t="s">
        <v>104</v>
      </c>
      <c r="C3" s="15" t="s">
        <v>105</v>
      </c>
      <c r="D3" s="14">
        <v>1</v>
      </c>
    </row>
    <row r="4" spans="2:4" ht="60" x14ac:dyDescent="0.25">
      <c r="B4" s="16" t="s">
        <v>106</v>
      </c>
      <c r="C4" s="16" t="s">
        <v>105</v>
      </c>
      <c r="D4" s="1">
        <v>0</v>
      </c>
    </row>
    <row r="5" spans="2:4" ht="60" x14ac:dyDescent="0.25">
      <c r="B5" s="16" t="s">
        <v>107</v>
      </c>
      <c r="C5" s="16" t="s">
        <v>108</v>
      </c>
      <c r="D5" s="1">
        <v>0</v>
      </c>
    </row>
    <row r="6" spans="2:4" ht="60" x14ac:dyDescent="0.25">
      <c r="B6" s="16" t="s">
        <v>109</v>
      </c>
      <c r="C6" s="16" t="s">
        <v>110</v>
      </c>
      <c r="D6" s="16">
        <v>1</v>
      </c>
    </row>
    <row r="7" spans="2:4" ht="60" x14ac:dyDescent="0.25">
      <c r="B7" s="16" t="s">
        <v>111</v>
      </c>
      <c r="C7" s="16" t="s">
        <v>112</v>
      </c>
      <c r="D7" s="16">
        <v>0</v>
      </c>
    </row>
    <row r="8" spans="2:4" ht="60" x14ac:dyDescent="0.25">
      <c r="B8" s="16" t="s">
        <v>113</v>
      </c>
      <c r="C8" s="16" t="s">
        <v>114</v>
      </c>
      <c r="D8" s="16">
        <v>0</v>
      </c>
    </row>
    <row r="9" spans="2:4" ht="135" x14ac:dyDescent="0.25">
      <c r="B9" s="16" t="s">
        <v>115</v>
      </c>
      <c r="C9" s="17" t="s">
        <v>116</v>
      </c>
      <c r="D9" s="16">
        <v>1</v>
      </c>
    </row>
    <row r="10" spans="2:4" x14ac:dyDescent="0.25">
      <c r="B10" s="16"/>
      <c r="C10" s="17"/>
      <c r="D10" s="16"/>
    </row>
    <row r="11" spans="2:4" x14ac:dyDescent="0.25">
      <c r="B11" s="16"/>
      <c r="C11" s="17"/>
      <c r="D11" s="16"/>
    </row>
    <row r="12" spans="2:4" x14ac:dyDescent="0.25">
      <c r="B12" s="16"/>
      <c r="C12" s="17"/>
      <c r="D12" s="16"/>
    </row>
    <row r="13" spans="2:4" x14ac:dyDescent="0.25">
      <c r="B13" s="16"/>
      <c r="C13" s="17"/>
      <c r="D13" s="16"/>
    </row>
    <row r="14" spans="2:4" x14ac:dyDescent="0.25">
      <c r="B14" s="16"/>
      <c r="C14" s="17"/>
      <c r="D14" s="16"/>
    </row>
    <row r="15" spans="2:4" x14ac:dyDescent="0.25">
      <c r="B15" s="16"/>
      <c r="C15" s="17"/>
      <c r="D15" s="16"/>
    </row>
    <row r="16" spans="2:4" x14ac:dyDescent="0.25">
      <c r="B16" s="16"/>
      <c r="C16" s="17"/>
      <c r="D16" s="16"/>
    </row>
    <row r="17" spans="2:4" x14ac:dyDescent="0.25">
      <c r="B17" s="16"/>
      <c r="C17" s="17"/>
      <c r="D17" s="16"/>
    </row>
    <row r="18" spans="2:4" x14ac:dyDescent="0.25">
      <c r="B18" s="16"/>
      <c r="C18" s="17"/>
      <c r="D18" s="16"/>
    </row>
    <row r="19" spans="2:4" x14ac:dyDescent="0.25">
      <c r="B19" s="16"/>
      <c r="C19" s="17"/>
      <c r="D19" s="16"/>
    </row>
    <row r="20" spans="2:4" x14ac:dyDescent="0.25">
      <c r="B20" s="16"/>
      <c r="C20" s="17"/>
      <c r="D20" s="16"/>
    </row>
    <row r="21" spans="2:4" x14ac:dyDescent="0.25">
      <c r="B21" s="1"/>
      <c r="C21" s="17"/>
      <c r="D21" s="1"/>
    </row>
    <row r="22" spans="2:4" x14ac:dyDescent="0.25">
      <c r="C22" s="1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Traditional RAG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MUHAMMAD AQIL GHAZALI ANHEIN</dc:creator>
  <cp:lastModifiedBy>MUHAMMAD AQIL GHAZALI ANHEIN</cp:lastModifiedBy>
  <dcterms:created xsi:type="dcterms:W3CDTF">2025-11-01T04:34:16Z</dcterms:created>
  <dcterms:modified xsi:type="dcterms:W3CDTF">2025-11-22T12:55:06Z</dcterms:modified>
</cp:coreProperties>
</file>